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e\github\benchmark\CoreMark\"/>
    </mc:Choice>
  </mc:AlternateContent>
  <xr:revisionPtr revIDLastSave="0" documentId="13_ncr:1_{3DA9E8E8-D7DC-4737-BD4B-5697C6489810}" xr6:coauthVersionLast="47" xr6:coauthVersionMax="47" xr10:uidLastSave="{00000000-0000-0000-0000-000000000000}"/>
  <bookViews>
    <workbookView xWindow="28800" yWindow="75" windowWidth="19140" windowHeight="14730" xr2:uid="{00000000-000D-0000-FFFF-FFFF00000000}"/>
  </bookViews>
  <sheets>
    <sheet name="2026" sheetId="4" r:id="rId1"/>
    <sheet name="2025" sheetId="3" r:id="rId2"/>
    <sheet name="multi" sheetId="2" r:id="rId3"/>
    <sheet name="single202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1" i="4" l="1"/>
  <c r="B21" i="4"/>
  <c r="K22" i="4"/>
  <c r="K20" i="4"/>
  <c r="K19" i="4"/>
  <c r="K15" i="4"/>
  <c r="K28" i="4"/>
  <c r="B28" i="4"/>
  <c r="K31" i="4"/>
  <c r="K5" i="4"/>
  <c r="K4" i="4"/>
  <c r="K17" i="4"/>
  <c r="K16" i="4"/>
  <c r="K14" i="4"/>
  <c r="K13" i="4"/>
  <c r="K12" i="4"/>
  <c r="K11" i="4"/>
  <c r="K10" i="4"/>
  <c r="K9" i="4"/>
  <c r="K8" i="4"/>
  <c r="K7" i="4"/>
  <c r="K6" i="4"/>
  <c r="K29" i="4"/>
  <c r="K27" i="4"/>
  <c r="K23" i="4"/>
  <c r="K18" i="4"/>
  <c r="K24" i="4"/>
  <c r="K25" i="4"/>
  <c r="K26" i="4"/>
  <c r="B26" i="4"/>
  <c r="B31" i="4"/>
  <c r="B29" i="4"/>
  <c r="B27" i="4"/>
  <c r="B25" i="4"/>
  <c r="B24" i="4"/>
  <c r="B23" i="4"/>
  <c r="B22" i="4"/>
  <c r="B19" i="4"/>
  <c r="B18" i="4"/>
  <c r="B17" i="4"/>
  <c r="B16" i="4"/>
  <c r="B14" i="4"/>
  <c r="B13" i="4"/>
  <c r="B12" i="4"/>
  <c r="B11" i="4"/>
  <c r="B10" i="4"/>
  <c r="B9" i="4"/>
  <c r="B8" i="4"/>
  <c r="B7" i="4"/>
  <c r="B6" i="4"/>
  <c r="B5" i="4"/>
  <c r="B4" i="4"/>
  <c r="B18" i="3"/>
  <c r="B15" i="3"/>
  <c r="D4" i="2"/>
  <c r="B25" i="3"/>
  <c r="B24" i="3"/>
  <c r="B23" i="3"/>
  <c r="B22" i="3"/>
  <c r="B21" i="3"/>
  <c r="B20" i="3"/>
  <c r="B19" i="3"/>
  <c r="B17" i="3"/>
  <c r="B16" i="3"/>
  <c r="B14" i="3"/>
  <c r="B13" i="3"/>
  <c r="B12" i="3"/>
  <c r="B11" i="3"/>
  <c r="B10" i="3"/>
  <c r="B9" i="3"/>
  <c r="B8" i="3"/>
  <c r="B7" i="3"/>
  <c r="B6" i="3"/>
  <c r="B5" i="3"/>
  <c r="B4" i="3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<sst xmlns="http://schemas.openxmlformats.org/spreadsheetml/2006/main" count="293" uniqueCount="143">
  <si>
    <t>CoreMark Values</t>
  </si>
  <si>
    <t>Board</t>
  </si>
  <si>
    <t>CoreMark</t>
  </si>
  <si>
    <t>MHz</t>
  </si>
  <si>
    <t>Mark/MHz</t>
  </si>
  <si>
    <t>Arduino MEGA 2560</t>
  </si>
  <si>
    <t>STM32F103C8T6 128k</t>
  </si>
  <si>
    <t>STM32F401CCU6 256k</t>
  </si>
  <si>
    <t>STM32F411CEU6 512k</t>
  </si>
  <si>
    <t>T-Koala ESP32</t>
  </si>
  <si>
    <t>Raspberry Pi Model B v2</t>
  </si>
  <si>
    <t>Raspberry Pi 3 Model B</t>
  </si>
  <si>
    <t>Amlogic S905W tanix tx3</t>
  </si>
  <si>
    <t>Xeon X5550</t>
  </si>
  <si>
    <t>i5-3320M</t>
  </si>
  <si>
    <t>i7-6800HQ</t>
  </si>
  <si>
    <t>i3-10100</t>
  </si>
  <si>
    <t>RPi3 Model B 4 threads</t>
  </si>
  <si>
    <t>Amlogic S905W 4 threads</t>
  </si>
  <si>
    <t>Raspberry 4 with 4 threads</t>
  </si>
  <si>
    <t>i5-3320M 4 threads</t>
  </si>
  <si>
    <t>i7-4960HQ 4 threads</t>
  </si>
  <si>
    <t>i7-4960HQ 8 threads</t>
  </si>
  <si>
    <t>i7-6820HQ 4 threads</t>
  </si>
  <si>
    <t>i3-10100 4 threads</t>
  </si>
  <si>
    <t>i7-6820HQ 8 threads</t>
  </si>
  <si>
    <t>Xeon X5550 16 threads</t>
  </si>
  <si>
    <t>i3-10100 8 threads</t>
  </si>
  <si>
    <t>4 threads</t>
  </si>
  <si>
    <t>CoreMark Values - 4 threads</t>
  </si>
  <si>
    <t>8 threads</t>
  </si>
  <si>
    <t>CoreMark Values - 8 threads</t>
  </si>
  <si>
    <t>16 threads</t>
  </si>
  <si>
    <t>Software from Paul Stoffregen</t>
  </si>
  <si>
    <t xml:space="preserve">https://github.com/PaulStoffregen/CoreMark </t>
  </si>
  <si>
    <t>DOIT Devkit ESP32</t>
  </si>
  <si>
    <t>measured</t>
  </si>
  <si>
    <t>Raspberry Pico 2040</t>
  </si>
  <si>
    <t>notes</t>
  </si>
  <si>
    <t>with 200 MHz 297 CoreMark</t>
  </si>
  <si>
    <t>T8 ESP32-S2 st7789</t>
  </si>
  <si>
    <t>ESP32-S3 Devkit</t>
  </si>
  <si>
    <t>ESP32-C3 RISC-V</t>
  </si>
  <si>
    <t>M1</t>
  </si>
  <si>
    <t>CoreMark Values 2021</t>
  </si>
  <si>
    <t>i7-6820HQ</t>
  </si>
  <si>
    <t>ISA</t>
  </si>
  <si>
    <t>RISC-V</t>
  </si>
  <si>
    <t>CPU</t>
  </si>
  <si>
    <t>Cortex-M3</t>
  </si>
  <si>
    <t>ARMv7-M</t>
  </si>
  <si>
    <t>bit</t>
  </si>
  <si>
    <t>Cortex-M4</t>
  </si>
  <si>
    <t>+ FPU</t>
  </si>
  <si>
    <t>ARMv6-M</t>
  </si>
  <si>
    <t>Cortex-M0+</t>
  </si>
  <si>
    <t>should be 2.55</t>
  </si>
  <si>
    <t>AVRxt</t>
  </si>
  <si>
    <t>ATmega2560</t>
  </si>
  <si>
    <t>BCM2835</t>
  </si>
  <si>
    <t>ARMv6</t>
  </si>
  <si>
    <t>Cortex A53</t>
  </si>
  <si>
    <t>ARMv8</t>
  </si>
  <si>
    <t>ARMv8-A</t>
  </si>
  <si>
    <t>x86-64</t>
  </si>
  <si>
    <t>Gainestown</t>
  </si>
  <si>
    <t>Ivy Bridge</t>
  </si>
  <si>
    <t>Skylake-H</t>
  </si>
  <si>
    <t>Comet Lake-S</t>
  </si>
  <si>
    <t>note2</t>
  </si>
  <si>
    <t>Firestorm</t>
  </si>
  <si>
    <t>ARMv8 SIMD/NEON</t>
  </si>
  <si>
    <t>plus undocumented AMX instr.</t>
  </si>
  <si>
    <t>i7-13700T</t>
  </si>
  <si>
    <t>Core Gen 13</t>
  </si>
  <si>
    <t>Raptor Lake-S</t>
  </si>
  <si>
    <t>Pentium G2030</t>
  </si>
  <si>
    <t>CoreMark Values - 2 threads</t>
  </si>
  <si>
    <t>2 threads</t>
  </si>
  <si>
    <t>LX7</t>
  </si>
  <si>
    <t>LX6</t>
  </si>
  <si>
    <t>Xtensa</t>
  </si>
  <si>
    <t>Core Gen 3, Ivy Bridge 22nm</t>
  </si>
  <si>
    <t>Core Gen 1, Nehalem 45nm</t>
  </si>
  <si>
    <t>Core Gen 6, Skylake 14nm</t>
  </si>
  <si>
    <t>Core Gen 10, Comet Lake 14 nm</t>
  </si>
  <si>
    <t>RV32IMV</t>
  </si>
  <si>
    <t>https://www.espressif.com/sites/default/files/documentation/esp32-c3_technical_reference_manual_en.pdf#riscvcpu</t>
  </si>
  <si>
    <t>RockChip 3229</t>
  </si>
  <si>
    <t>Cortex A7</t>
  </si>
  <si>
    <t>would be Raspberry Pi 2</t>
  </si>
  <si>
    <t>Raspberry Pi 4 v1.1 4GB</t>
  </si>
  <si>
    <t>ARMv7-A</t>
  </si>
  <si>
    <t>Cortex-A72</t>
  </si>
  <si>
    <t>announced 2015</t>
  </si>
  <si>
    <t>announced 2012</t>
  </si>
  <si>
    <t>RAM</t>
  </si>
  <si>
    <t>GB</t>
  </si>
  <si>
    <t xml:space="preserve"> </t>
  </si>
  <si>
    <t>nm</t>
  </si>
  <si>
    <t>year</t>
  </si>
  <si>
    <t>CM/MHz</t>
  </si>
  <si>
    <t>theory</t>
  </si>
  <si>
    <t>Galaxy Note 20</t>
  </si>
  <si>
    <t>Snapdragpon 865</t>
  </si>
  <si>
    <t>ARMv8.2-A</t>
  </si>
  <si>
    <t>NEW</t>
  </si>
  <si>
    <t>Galaxy S24</t>
  </si>
  <si>
    <t>ARMv9.2-A</t>
  </si>
  <si>
    <t>Cortex-X4 </t>
  </si>
  <si>
    <t>Exynos 2400</t>
  </si>
  <si>
    <t>Kyro 585</t>
  </si>
  <si>
    <t>TP-Link Archer C7</t>
  </si>
  <si>
    <t>QCA956X</t>
  </si>
  <si>
    <t>MIPS 74Kc V5.0</t>
  </si>
  <si>
    <t>i5-2520M</t>
  </si>
  <si>
    <t>Elitebook hp8460p</t>
  </si>
  <si>
    <t>Sandy Bridge</t>
  </si>
  <si>
    <t>Nehalem</t>
  </si>
  <si>
    <t>Skylake</t>
  </si>
  <si>
    <t>Comet Lake</t>
  </si>
  <si>
    <t>Core Gen 1</t>
  </si>
  <si>
    <t>Core Gen 2</t>
  </si>
  <si>
    <t>Core Gen 3</t>
  </si>
  <si>
    <t>Core Gen 6</t>
  </si>
  <si>
    <t>Core Gen 10</t>
  </si>
  <si>
    <t>Atheros QCA956X</t>
  </si>
  <si>
    <t>Qualcomm</t>
  </si>
  <si>
    <t>like Raspberry Pi 2</t>
  </si>
  <si>
    <t>plus some AMX instr.</t>
  </si>
  <si>
    <t>297 with 200 MHz</t>
  </si>
  <si>
    <t>Apple M1</t>
  </si>
  <si>
    <t>ESP32-C3</t>
  </si>
  <si>
    <t>note3</t>
  </si>
  <si>
    <t>HP Z600</t>
  </si>
  <si>
    <t>Thinkpad X230</t>
  </si>
  <si>
    <t>zBook 15 G3</t>
  </si>
  <si>
    <t>Xigmatek Gemini</t>
  </si>
  <si>
    <t>HP mini 400 G9</t>
  </si>
  <si>
    <t>Macbook Air</t>
  </si>
  <si>
    <t>Raptor Lake</t>
  </si>
  <si>
    <t>Firestorm/Icestorm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</si>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</sst>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2" fontId="0" fillId="0" borderId="0" xfId="0" applyNumberFormat="1"/>
    <xf numFmtId="0" fontId="1" fillId="0" borderId="0" xfId="1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2" fontId="0" fillId="0" borderId="2" xfId="0" applyNumberFormat="1" applyBorder="1"/>
    <xf numFmtId="0" fontId="0" fillId="0" borderId="2" xfId="0" applyBorder="1" applyAlignment="1">
      <alignment horizontal="center" vertical="center"/>
    </xf>
    <xf numFmtId="0" fontId="0" fillId="5" borderId="0" xfId="0" applyFill="1"/>
    <xf numFmtId="0" fontId="0" fillId="0" borderId="0" xfId="0" applyFill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2" fontId="3" fillId="0" borderId="0" xfId="0" applyNumberFormat="1" applyFont="1" applyBorder="1" applyAlignment="1">
      <alignment horizontal="right" wrapText="1"/>
    </xf>
    <xf numFmtId="0" fontId="1" fillId="0" borderId="0" xfId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3" fillId="0" borderId="0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7" borderId="0" xfId="0" applyFill="1"/>
    <xf numFmtId="0" fontId="0" fillId="7" borderId="0" xfId="0" applyFill="1" applyBorder="1"/>
    <xf numFmtId="0" fontId="0" fillId="8" borderId="0" xfId="0" applyFill="1"/>
    <xf numFmtId="0" fontId="0" fillId="8" borderId="1" xfId="0" applyFill="1" applyBorder="1"/>
    <xf numFmtId="0" fontId="0" fillId="9" borderId="0" xfId="0" applyFill="1"/>
    <xf numFmtId="0" fontId="0" fillId="9" borderId="2" xfId="0" applyFill="1" applyBorder="1"/>
    <xf numFmtId="0" fontId="0" fillId="1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DDD5D5-7268-427D-A1A4-19C1D3E709F7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spressif.com/sites/default/files/documentation/esp32-c3_technical_reference_manual_en.pdf" TargetMode="External"/><Relationship Id="rId1" Type="http://schemas.openxmlformats.org/officeDocument/2006/relationships/hyperlink" Target="https://github.com/PaulStoffregen/CoreMar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PaulStoffregen/CoreMa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E1AF-0657-4DA5-A1B8-069399C72A73}">
  <dimension ref="A1:P35"/>
  <sheetViews>
    <sheetView tabSelected="1" zoomScaleNormal="100" workbookViewId="0">
      <selection activeCell="G31" sqref="G31"/>
    </sheetView>
  </sheetViews>
  <sheetFormatPr defaultColWidth="8.85546875" defaultRowHeight="15" x14ac:dyDescent="0.25"/>
  <cols>
    <col min="1" max="1" width="23" bestFit="1" customWidth="1"/>
    <col min="2" max="2" width="10.140625" bestFit="1" customWidth="1"/>
    <col min="3" max="3" width="9.7109375" bestFit="1" customWidth="1"/>
    <col min="4" max="4" width="5.140625" bestFit="1" customWidth="1"/>
    <col min="5" max="5" width="19.85546875" bestFit="1" customWidth="1"/>
    <col min="6" max="6" width="18.5703125" bestFit="1" customWidth="1"/>
    <col min="7" max="7" width="13.140625" bestFit="1" customWidth="1"/>
    <col min="8" max="9" width="4.42578125" customWidth="1"/>
    <col min="10" max="10" width="5" bestFit="1" customWidth="1"/>
    <col min="11" max="11" width="8.85546875" bestFit="1" customWidth="1"/>
    <col min="12" max="12" width="8.85546875" customWidth="1"/>
    <col min="13" max="13" width="14.42578125" customWidth="1"/>
    <col min="14" max="14" width="8" style="6" bestFit="1" customWidth="1"/>
    <col min="16" max="16" width="17.42578125" customWidth="1"/>
  </cols>
  <sheetData>
    <row r="1" spans="1:16" x14ac:dyDescent="0.25">
      <c r="A1" t="s">
        <v>0</v>
      </c>
      <c r="H1" s="29"/>
    </row>
    <row r="2" spans="1:16" x14ac:dyDescent="0.25">
      <c r="H2" s="29"/>
    </row>
    <row r="3" spans="1:16" x14ac:dyDescent="0.25">
      <c r="A3" s="7" t="s">
        <v>1</v>
      </c>
      <c r="B3" s="7" t="s">
        <v>4</v>
      </c>
      <c r="C3" s="7" t="s">
        <v>2</v>
      </c>
      <c r="D3" s="7" t="s">
        <v>3</v>
      </c>
      <c r="E3" s="7" t="s">
        <v>38</v>
      </c>
      <c r="F3" s="7" t="s">
        <v>46</v>
      </c>
      <c r="G3" s="7" t="s">
        <v>48</v>
      </c>
      <c r="H3" s="7" t="s">
        <v>51</v>
      </c>
      <c r="I3" s="7" t="s">
        <v>99</v>
      </c>
      <c r="J3" s="7" t="s">
        <v>100</v>
      </c>
      <c r="K3" s="7" t="s">
        <v>101</v>
      </c>
      <c r="L3" s="7" t="s">
        <v>102</v>
      </c>
      <c r="M3" s="7" t="s">
        <v>69</v>
      </c>
      <c r="N3" s="8" t="s">
        <v>96</v>
      </c>
      <c r="O3" s="7" t="s">
        <v>36</v>
      </c>
      <c r="P3" s="27" t="s">
        <v>133</v>
      </c>
    </row>
    <row r="4" spans="1:16" x14ac:dyDescent="0.25">
      <c r="A4" s="14" t="s">
        <v>5</v>
      </c>
      <c r="B4" s="15">
        <f>C4/D4</f>
        <v>0.4375</v>
      </c>
      <c r="C4" s="14">
        <v>7</v>
      </c>
      <c r="D4" s="14">
        <v>16</v>
      </c>
      <c r="E4" s="14"/>
      <c r="F4" s="39" t="s">
        <v>57</v>
      </c>
      <c r="G4" s="14" t="s">
        <v>58</v>
      </c>
      <c r="H4" s="30">
        <v>8</v>
      </c>
      <c r="I4" s="14"/>
      <c r="J4" s="14">
        <v>1997</v>
      </c>
      <c r="K4" s="11">
        <f>C4/D4</f>
        <v>0.4375</v>
      </c>
      <c r="L4" s="14"/>
      <c r="M4" s="14"/>
      <c r="N4" s="16" t="s">
        <v>142</v>
      </c>
      <c r="O4" s="14">
        <v>2020</v>
      </c>
      <c r="P4" s="14"/>
    </row>
    <row r="5" spans="1:16" x14ac:dyDescent="0.25">
      <c r="A5" t="s">
        <v>6</v>
      </c>
      <c r="B5" s="1">
        <f t="shared" ref="B5:B19" si="0">C5/D5</f>
        <v>1.125</v>
      </c>
      <c r="C5">
        <v>81</v>
      </c>
      <c r="D5">
        <v>72</v>
      </c>
      <c r="F5" s="36" t="s">
        <v>50</v>
      </c>
      <c r="G5" t="s">
        <v>49</v>
      </c>
      <c r="H5" s="31">
        <v>32</v>
      </c>
      <c r="J5">
        <v>2007</v>
      </c>
      <c r="K5" s="11">
        <f>C5/D5</f>
        <v>1.125</v>
      </c>
      <c r="L5">
        <v>1.905</v>
      </c>
      <c r="N5" s="33">
        <v>20</v>
      </c>
      <c r="O5">
        <v>2020</v>
      </c>
      <c r="P5" s="22"/>
    </row>
    <row r="6" spans="1:16" x14ac:dyDescent="0.25">
      <c r="A6" t="s">
        <v>7</v>
      </c>
      <c r="B6" s="1">
        <f t="shared" si="0"/>
        <v>1.7857142857142858</v>
      </c>
      <c r="C6">
        <v>150</v>
      </c>
      <c r="D6">
        <v>84</v>
      </c>
      <c r="F6" s="36" t="s">
        <v>50</v>
      </c>
      <c r="G6" t="s">
        <v>52</v>
      </c>
      <c r="H6" s="31">
        <v>32</v>
      </c>
      <c r="J6">
        <v>2013</v>
      </c>
      <c r="K6" s="1">
        <f t="shared" ref="K6:K15" si="1">C6/D6</f>
        <v>1.7857142857142858</v>
      </c>
      <c r="L6">
        <v>3.42</v>
      </c>
      <c r="M6" s="4" t="s">
        <v>53</v>
      </c>
      <c r="N6" s="33">
        <v>64</v>
      </c>
      <c r="O6">
        <v>2020</v>
      </c>
      <c r="P6" s="22"/>
    </row>
    <row r="7" spans="1:16" x14ac:dyDescent="0.25">
      <c r="A7" t="s">
        <v>8</v>
      </c>
      <c r="B7" s="1">
        <f t="shared" si="0"/>
        <v>1.72</v>
      </c>
      <c r="C7">
        <v>172</v>
      </c>
      <c r="D7">
        <v>100</v>
      </c>
      <c r="F7" s="36" t="s">
        <v>50</v>
      </c>
      <c r="G7" t="s">
        <v>52</v>
      </c>
      <c r="H7" s="31">
        <v>32</v>
      </c>
      <c r="J7">
        <v>2013</v>
      </c>
      <c r="K7" s="1">
        <f t="shared" si="1"/>
        <v>1.72</v>
      </c>
      <c r="L7">
        <v>3.42</v>
      </c>
      <c r="M7" s="4" t="s">
        <v>53</v>
      </c>
      <c r="N7" s="33">
        <v>128</v>
      </c>
      <c r="O7">
        <v>2020</v>
      </c>
      <c r="P7" s="22"/>
    </row>
    <row r="8" spans="1:16" x14ac:dyDescent="0.25">
      <c r="A8" s="9" t="s">
        <v>37</v>
      </c>
      <c r="B8" s="1">
        <f t="shared" si="0"/>
        <v>1.481203007518797</v>
      </c>
      <c r="C8">
        <v>197</v>
      </c>
      <c r="D8">
        <v>133</v>
      </c>
      <c r="E8" t="s">
        <v>130</v>
      </c>
      <c r="F8" s="36" t="s">
        <v>54</v>
      </c>
      <c r="G8" t="s">
        <v>55</v>
      </c>
      <c r="H8" s="31">
        <v>32</v>
      </c>
      <c r="J8">
        <v>2021</v>
      </c>
      <c r="K8" s="1">
        <f t="shared" si="1"/>
        <v>1.481203007518797</v>
      </c>
      <c r="M8" s="22"/>
      <c r="N8" s="33">
        <v>264</v>
      </c>
      <c r="O8" s="3">
        <v>2023</v>
      </c>
      <c r="P8" s="22"/>
    </row>
    <row r="9" spans="1:16" x14ac:dyDescent="0.25">
      <c r="A9" t="s">
        <v>42</v>
      </c>
      <c r="B9" s="1">
        <f t="shared" si="0"/>
        <v>1.9</v>
      </c>
      <c r="C9">
        <v>304</v>
      </c>
      <c r="D9">
        <v>160</v>
      </c>
      <c r="E9" t="s">
        <v>56</v>
      </c>
      <c r="F9" s="38" t="s">
        <v>86</v>
      </c>
      <c r="G9" t="s">
        <v>47</v>
      </c>
      <c r="H9" s="31">
        <v>32</v>
      </c>
      <c r="J9">
        <v>2016</v>
      </c>
      <c r="K9" s="1">
        <f t="shared" si="1"/>
        <v>1.9</v>
      </c>
      <c r="M9" s="26" t="s">
        <v>132</v>
      </c>
      <c r="N9" s="33">
        <v>400</v>
      </c>
      <c r="O9" s="3">
        <v>2023</v>
      </c>
      <c r="P9" s="22"/>
    </row>
    <row r="10" spans="1:16" x14ac:dyDescent="0.25">
      <c r="A10" t="s">
        <v>9</v>
      </c>
      <c r="B10" s="1">
        <f t="shared" si="0"/>
        <v>2.1937500000000001</v>
      </c>
      <c r="C10">
        <v>351</v>
      </c>
      <c r="D10">
        <v>160</v>
      </c>
      <c r="F10" s="40" t="s">
        <v>81</v>
      </c>
      <c r="G10" t="s">
        <v>80</v>
      </c>
      <c r="H10" s="31">
        <v>32</v>
      </c>
      <c r="J10">
        <v>2016</v>
      </c>
      <c r="K10" s="1">
        <f t="shared" si="1"/>
        <v>2.1937500000000001</v>
      </c>
      <c r="L10">
        <v>4.1399999999999997</v>
      </c>
      <c r="N10" s="33">
        <v>520</v>
      </c>
      <c r="O10">
        <v>2020</v>
      </c>
      <c r="P10" s="22"/>
    </row>
    <row r="11" spans="1:16" x14ac:dyDescent="0.25">
      <c r="A11" t="s">
        <v>40</v>
      </c>
      <c r="B11" s="1">
        <f t="shared" si="0"/>
        <v>2.2562500000000001</v>
      </c>
      <c r="C11">
        <v>361</v>
      </c>
      <c r="D11">
        <v>160</v>
      </c>
      <c r="F11" s="40" t="s">
        <v>81</v>
      </c>
      <c r="G11" t="s">
        <v>79</v>
      </c>
      <c r="H11" s="31">
        <v>32</v>
      </c>
      <c r="J11">
        <v>2019</v>
      </c>
      <c r="K11" s="1">
        <f t="shared" si="1"/>
        <v>2.2562500000000001</v>
      </c>
      <c r="N11" s="33">
        <v>520</v>
      </c>
      <c r="O11" s="3">
        <v>2023</v>
      </c>
      <c r="P11" s="22"/>
    </row>
    <row r="12" spans="1:16" x14ac:dyDescent="0.25">
      <c r="A12" t="s">
        <v>35</v>
      </c>
      <c r="B12" s="1">
        <f t="shared" si="0"/>
        <v>2.34375</v>
      </c>
      <c r="C12">
        <v>375</v>
      </c>
      <c r="D12">
        <v>160</v>
      </c>
      <c r="F12" s="40" t="s">
        <v>81</v>
      </c>
      <c r="G12" t="s">
        <v>80</v>
      </c>
      <c r="H12" s="31">
        <v>32</v>
      </c>
      <c r="J12">
        <v>2016</v>
      </c>
      <c r="K12" s="1">
        <f t="shared" si="1"/>
        <v>2.34375</v>
      </c>
      <c r="N12" s="33">
        <v>520</v>
      </c>
      <c r="O12" s="3">
        <v>2023</v>
      </c>
      <c r="P12" s="22"/>
    </row>
    <row r="13" spans="1:16" x14ac:dyDescent="0.25">
      <c r="A13" t="s">
        <v>41</v>
      </c>
      <c r="B13" s="1">
        <f t="shared" si="0"/>
        <v>1.8791666666666667</v>
      </c>
      <c r="C13">
        <v>451</v>
      </c>
      <c r="D13">
        <v>240</v>
      </c>
      <c r="F13" s="40" t="s">
        <v>81</v>
      </c>
      <c r="G13" t="s">
        <v>79</v>
      </c>
      <c r="H13" s="31">
        <v>32</v>
      </c>
      <c r="J13">
        <v>2020</v>
      </c>
      <c r="K13" s="1">
        <f t="shared" si="1"/>
        <v>1.8791666666666667</v>
      </c>
      <c r="M13" s="4" t="s">
        <v>53</v>
      </c>
      <c r="N13" s="33">
        <v>520</v>
      </c>
      <c r="O13" s="3">
        <v>2023</v>
      </c>
      <c r="P13" s="22"/>
    </row>
    <row r="14" spans="1:16" x14ac:dyDescent="0.25">
      <c r="A14" s="9" t="s">
        <v>10</v>
      </c>
      <c r="B14" s="1">
        <f t="shared" si="0"/>
        <v>2.2485714285714287</v>
      </c>
      <c r="C14">
        <v>1574</v>
      </c>
      <c r="D14">
        <v>700</v>
      </c>
      <c r="F14" s="36" t="s">
        <v>60</v>
      </c>
      <c r="G14" t="s">
        <v>59</v>
      </c>
      <c r="H14" s="31">
        <v>32</v>
      </c>
      <c r="J14">
        <v>2012</v>
      </c>
      <c r="K14" s="1">
        <f t="shared" si="1"/>
        <v>2.2485714285714287</v>
      </c>
      <c r="L14">
        <v>2.42</v>
      </c>
      <c r="N14" s="33">
        <v>512000</v>
      </c>
      <c r="O14">
        <v>2020</v>
      </c>
      <c r="P14" s="22"/>
    </row>
    <row r="15" spans="1:16" x14ac:dyDescent="0.25">
      <c r="A15" s="18" t="s">
        <v>112</v>
      </c>
      <c r="B15" s="1">
        <v>2.65</v>
      </c>
      <c r="C15">
        <v>2053</v>
      </c>
      <c r="D15">
        <v>775</v>
      </c>
      <c r="E15" t="s">
        <v>126</v>
      </c>
      <c r="F15" s="38" t="s">
        <v>114</v>
      </c>
      <c r="G15" t="s">
        <v>113</v>
      </c>
      <c r="H15" s="31">
        <v>32</v>
      </c>
      <c r="J15">
        <v>2011</v>
      </c>
      <c r="K15" s="1">
        <f t="shared" si="1"/>
        <v>2.649032258064516</v>
      </c>
      <c r="M15" t="s">
        <v>127</v>
      </c>
      <c r="N15" s="33">
        <v>128000</v>
      </c>
      <c r="O15" s="3">
        <v>2026</v>
      </c>
      <c r="P15" s="22"/>
    </row>
    <row r="16" spans="1:16" x14ac:dyDescent="0.25">
      <c r="A16" s="5" t="s">
        <v>88</v>
      </c>
      <c r="B16" s="1">
        <f t="shared" si="0"/>
        <v>2.8436154949784793</v>
      </c>
      <c r="C16">
        <v>3964</v>
      </c>
      <c r="D16">
        <v>1394</v>
      </c>
      <c r="E16" t="s">
        <v>128</v>
      </c>
      <c r="F16" s="36" t="s">
        <v>92</v>
      </c>
      <c r="G16" t="s">
        <v>89</v>
      </c>
      <c r="H16" s="31">
        <v>32</v>
      </c>
      <c r="J16">
        <v>2018</v>
      </c>
      <c r="K16" s="1">
        <f>C16/D16</f>
        <v>2.8436154949784793</v>
      </c>
      <c r="N16" s="33">
        <v>1024000</v>
      </c>
      <c r="O16" s="3">
        <v>2025</v>
      </c>
      <c r="P16" s="22"/>
    </row>
    <row r="17" spans="1:16" x14ac:dyDescent="0.25">
      <c r="A17" s="10" t="s">
        <v>11</v>
      </c>
      <c r="B17" s="11">
        <f t="shared" si="0"/>
        <v>3.1666666666666665</v>
      </c>
      <c r="C17" s="12">
        <v>3800</v>
      </c>
      <c r="D17" s="12">
        <v>1200</v>
      </c>
      <c r="E17" s="23"/>
      <c r="F17" s="37" t="s">
        <v>62</v>
      </c>
      <c r="G17" s="12" t="s">
        <v>61</v>
      </c>
      <c r="H17" s="32">
        <v>64</v>
      </c>
      <c r="I17" s="12"/>
      <c r="J17" s="12">
        <v>2016</v>
      </c>
      <c r="K17" s="11">
        <f>C17/D17</f>
        <v>3.1666666666666665</v>
      </c>
      <c r="L17" s="12">
        <v>2.6</v>
      </c>
      <c r="M17" s="12"/>
      <c r="N17" s="13">
        <v>1</v>
      </c>
      <c r="O17" s="12">
        <v>2020</v>
      </c>
      <c r="P17" s="12"/>
    </row>
    <row r="18" spans="1:16" x14ac:dyDescent="0.25">
      <c r="A18" s="5" t="s">
        <v>12</v>
      </c>
      <c r="B18" s="1">
        <f t="shared" si="0"/>
        <v>3.2608333333333333</v>
      </c>
      <c r="C18">
        <v>3913</v>
      </c>
      <c r="D18">
        <v>1200</v>
      </c>
      <c r="E18" s="24"/>
      <c r="F18" s="36" t="s">
        <v>63</v>
      </c>
      <c r="G18" t="s">
        <v>61</v>
      </c>
      <c r="H18" s="29">
        <v>64</v>
      </c>
      <c r="J18">
        <v>2015</v>
      </c>
      <c r="K18" s="1">
        <f t="shared" ref="K18:K23" si="2">C18/D18</f>
        <v>3.2608333333333333</v>
      </c>
      <c r="N18" s="6">
        <v>2</v>
      </c>
      <c r="O18">
        <v>2020</v>
      </c>
      <c r="P18" s="22"/>
    </row>
    <row r="19" spans="1:16" x14ac:dyDescent="0.25">
      <c r="A19" t="s">
        <v>13</v>
      </c>
      <c r="B19" s="1">
        <f t="shared" si="0"/>
        <v>4.4584967320261439</v>
      </c>
      <c r="C19">
        <v>13643</v>
      </c>
      <c r="D19">
        <v>3060</v>
      </c>
      <c r="E19" s="24" t="s">
        <v>121</v>
      </c>
      <c r="F19" s="34" t="s">
        <v>64</v>
      </c>
      <c r="G19" t="s">
        <v>65</v>
      </c>
      <c r="H19" s="29">
        <v>64</v>
      </c>
      <c r="I19">
        <v>45</v>
      </c>
      <c r="J19">
        <v>2009</v>
      </c>
      <c r="K19" s="1">
        <f t="shared" si="2"/>
        <v>4.4584967320261439</v>
      </c>
      <c r="M19" t="s">
        <v>118</v>
      </c>
      <c r="N19" s="6">
        <v>24</v>
      </c>
      <c r="O19">
        <v>2020</v>
      </c>
      <c r="P19" s="22" t="s">
        <v>134</v>
      </c>
    </row>
    <row r="20" spans="1:16" x14ac:dyDescent="0.25">
      <c r="A20" s="19" t="s">
        <v>115</v>
      </c>
      <c r="B20" s="25">
        <v>5.4</v>
      </c>
      <c r="C20" s="20">
        <v>13500</v>
      </c>
      <c r="D20" s="20">
        <v>2500</v>
      </c>
      <c r="E20" s="24" t="s">
        <v>122</v>
      </c>
      <c r="F20" s="35" t="s">
        <v>64</v>
      </c>
      <c r="G20" s="19" t="s">
        <v>115</v>
      </c>
      <c r="H20" s="21">
        <v>64</v>
      </c>
      <c r="I20" s="20">
        <v>32</v>
      </c>
      <c r="J20" s="22">
        <v>2011</v>
      </c>
      <c r="K20" s="1">
        <f t="shared" si="2"/>
        <v>5.4</v>
      </c>
      <c r="L20" s="22"/>
      <c r="M20" s="19" t="s">
        <v>117</v>
      </c>
      <c r="N20" s="21">
        <v>16</v>
      </c>
      <c r="O20" s="20">
        <v>2024</v>
      </c>
      <c r="P20" s="28" t="s">
        <v>116</v>
      </c>
    </row>
    <row r="21" spans="1:16" x14ac:dyDescent="0.25">
      <c r="A21" s="9" t="s">
        <v>91</v>
      </c>
      <c r="B21" s="1">
        <f t="shared" ref="B21" si="3">C21/D21</f>
        <v>5.504666666666667</v>
      </c>
      <c r="C21">
        <v>8257</v>
      </c>
      <c r="D21">
        <v>1500</v>
      </c>
      <c r="E21" s="24"/>
      <c r="F21" s="36" t="s">
        <v>63</v>
      </c>
      <c r="G21" t="s">
        <v>93</v>
      </c>
      <c r="H21" s="29">
        <v>64</v>
      </c>
      <c r="I21">
        <v>28</v>
      </c>
      <c r="J21">
        <v>2019</v>
      </c>
      <c r="K21" s="1">
        <f t="shared" ref="K21" si="4">C21/D21</f>
        <v>5.504666666666667</v>
      </c>
      <c r="N21" s="6">
        <v>4</v>
      </c>
      <c r="O21">
        <v>2025</v>
      </c>
      <c r="P21" s="22"/>
    </row>
    <row r="22" spans="1:16" x14ac:dyDescent="0.25">
      <c r="A22" t="s">
        <v>76</v>
      </c>
      <c r="B22" s="1">
        <f>C22/D22</f>
        <v>6.3620000000000001</v>
      </c>
      <c r="C22">
        <v>19086</v>
      </c>
      <c r="D22">
        <v>3000</v>
      </c>
      <c r="E22" s="24" t="s">
        <v>123</v>
      </c>
      <c r="F22" s="34" t="s">
        <v>64</v>
      </c>
      <c r="G22" t="s">
        <v>66</v>
      </c>
      <c r="H22" s="29">
        <v>64</v>
      </c>
      <c r="I22">
        <v>22</v>
      </c>
      <c r="J22">
        <v>2013</v>
      </c>
      <c r="K22" s="1">
        <f t="shared" si="2"/>
        <v>6.3620000000000001</v>
      </c>
      <c r="M22" t="s">
        <v>66</v>
      </c>
      <c r="N22" s="6">
        <v>16</v>
      </c>
      <c r="O22">
        <v>2024</v>
      </c>
      <c r="P22" s="22"/>
    </row>
    <row r="23" spans="1:16" x14ac:dyDescent="0.25">
      <c r="A23" t="s">
        <v>14</v>
      </c>
      <c r="B23" s="1">
        <f t="shared" ref="B23:B29" si="5">C23/D23</f>
        <v>6.4378787878787875</v>
      </c>
      <c r="C23">
        <v>21245</v>
      </c>
      <c r="D23">
        <v>3300</v>
      </c>
      <c r="E23" s="24" t="s">
        <v>123</v>
      </c>
      <c r="F23" s="34" t="s">
        <v>64</v>
      </c>
      <c r="G23" t="s">
        <v>66</v>
      </c>
      <c r="H23" s="29">
        <v>64</v>
      </c>
      <c r="I23">
        <v>22</v>
      </c>
      <c r="J23">
        <v>2012</v>
      </c>
      <c r="K23" s="1">
        <f t="shared" si="2"/>
        <v>6.4378787878787875</v>
      </c>
      <c r="M23" t="s">
        <v>66</v>
      </c>
      <c r="N23" s="6">
        <v>16</v>
      </c>
      <c r="O23">
        <v>2020</v>
      </c>
      <c r="P23" s="19" t="s">
        <v>135</v>
      </c>
    </row>
    <row r="24" spans="1:16" x14ac:dyDescent="0.25">
      <c r="A24" t="s">
        <v>45</v>
      </c>
      <c r="B24" s="1">
        <f t="shared" si="5"/>
        <v>6.4969945355191259</v>
      </c>
      <c r="C24">
        <v>23779</v>
      </c>
      <c r="D24">
        <v>3660</v>
      </c>
      <c r="E24" s="24" t="s">
        <v>124</v>
      </c>
      <c r="F24" s="34" t="s">
        <v>64</v>
      </c>
      <c r="G24" t="s">
        <v>67</v>
      </c>
      <c r="H24" s="29">
        <v>64</v>
      </c>
      <c r="I24">
        <v>14</v>
      </c>
      <c r="J24">
        <v>2015</v>
      </c>
      <c r="K24" s="1">
        <f t="shared" ref="K24:K29" si="6">C24/D24</f>
        <v>6.4969945355191259</v>
      </c>
      <c r="M24" t="s">
        <v>119</v>
      </c>
      <c r="N24" s="6">
        <v>24</v>
      </c>
      <c r="O24">
        <v>2020</v>
      </c>
      <c r="P24" s="19" t="s">
        <v>136</v>
      </c>
    </row>
    <row r="25" spans="1:16" x14ac:dyDescent="0.25">
      <c r="A25" t="s">
        <v>16</v>
      </c>
      <c r="B25" s="1">
        <f t="shared" si="5"/>
        <v>7.2350710900473931</v>
      </c>
      <c r="C25">
        <v>30532</v>
      </c>
      <c r="D25">
        <v>4220</v>
      </c>
      <c r="E25" s="24" t="s">
        <v>125</v>
      </c>
      <c r="F25" s="34" t="s">
        <v>64</v>
      </c>
      <c r="G25" t="s">
        <v>68</v>
      </c>
      <c r="H25" s="29">
        <v>64</v>
      </c>
      <c r="I25">
        <v>14</v>
      </c>
      <c r="J25">
        <v>2020</v>
      </c>
      <c r="K25" s="1">
        <f t="shared" si="6"/>
        <v>7.2350710900473931</v>
      </c>
      <c r="M25" t="s">
        <v>120</v>
      </c>
      <c r="N25" s="6">
        <v>48</v>
      </c>
      <c r="O25">
        <v>2021</v>
      </c>
      <c r="P25" s="28" t="s">
        <v>137</v>
      </c>
    </row>
    <row r="26" spans="1:16" x14ac:dyDescent="0.25">
      <c r="A26" t="s">
        <v>103</v>
      </c>
      <c r="B26" s="1">
        <f>C26/D26</f>
        <v>7.6503125000000001</v>
      </c>
      <c r="C26">
        <v>24481</v>
      </c>
      <c r="D26">
        <v>3200</v>
      </c>
      <c r="E26" s="24" t="s">
        <v>104</v>
      </c>
      <c r="F26" s="36" t="s">
        <v>105</v>
      </c>
      <c r="G26" t="s">
        <v>111</v>
      </c>
      <c r="H26" s="29">
        <v>64</v>
      </c>
      <c r="I26">
        <v>7</v>
      </c>
      <c r="J26">
        <v>2020</v>
      </c>
      <c r="K26" s="1">
        <f t="shared" si="6"/>
        <v>7.6503125000000001</v>
      </c>
      <c r="M26" t="s">
        <v>104</v>
      </c>
      <c r="N26" s="6">
        <v>8</v>
      </c>
      <c r="O26" s="3">
        <v>2026</v>
      </c>
      <c r="P26" s="22"/>
    </row>
    <row r="27" spans="1:16" x14ac:dyDescent="0.25">
      <c r="A27" t="s">
        <v>73</v>
      </c>
      <c r="B27" s="1">
        <f t="shared" si="5"/>
        <v>8.4960869565217383</v>
      </c>
      <c r="C27">
        <v>39082</v>
      </c>
      <c r="D27">
        <v>4600</v>
      </c>
      <c r="E27" s="24" t="s">
        <v>74</v>
      </c>
      <c r="F27" s="34" t="s">
        <v>64</v>
      </c>
      <c r="G27" t="s">
        <v>75</v>
      </c>
      <c r="H27" s="29">
        <v>64</v>
      </c>
      <c r="I27">
        <v>7</v>
      </c>
      <c r="J27">
        <v>2023</v>
      </c>
      <c r="K27" s="1">
        <f t="shared" si="6"/>
        <v>8.4960869565217383</v>
      </c>
      <c r="M27" t="s">
        <v>140</v>
      </c>
      <c r="N27" s="6">
        <v>64</v>
      </c>
      <c r="O27">
        <v>2024</v>
      </c>
      <c r="P27" s="19" t="s">
        <v>138</v>
      </c>
    </row>
    <row r="28" spans="1:16" x14ac:dyDescent="0.25">
      <c r="A28" t="s">
        <v>131</v>
      </c>
      <c r="B28" s="1">
        <f t="shared" ref="B28" si="7">C28/D28</f>
        <v>9.9118750000000002</v>
      </c>
      <c r="C28">
        <v>31718</v>
      </c>
      <c r="D28">
        <v>3200</v>
      </c>
      <c r="E28" s="24" t="s">
        <v>129</v>
      </c>
      <c r="F28" s="36" t="s">
        <v>71</v>
      </c>
      <c r="G28" t="s">
        <v>70</v>
      </c>
      <c r="H28" s="29">
        <v>64</v>
      </c>
      <c r="I28">
        <v>5</v>
      </c>
      <c r="J28">
        <v>2020</v>
      </c>
      <c r="K28" s="1">
        <f t="shared" si="6"/>
        <v>9.9118750000000002</v>
      </c>
      <c r="M28" t="s">
        <v>141</v>
      </c>
      <c r="N28" s="6">
        <v>16</v>
      </c>
      <c r="O28" s="3">
        <v>2023</v>
      </c>
      <c r="P28" s="19" t="s">
        <v>139</v>
      </c>
    </row>
    <row r="29" spans="1:16" x14ac:dyDescent="0.25">
      <c r="A29" t="s">
        <v>107</v>
      </c>
      <c r="B29" s="1">
        <f t="shared" si="5"/>
        <v>10.320560747663551</v>
      </c>
      <c r="C29">
        <v>33129</v>
      </c>
      <c r="D29">
        <v>3210</v>
      </c>
      <c r="E29" s="24" t="s">
        <v>110</v>
      </c>
      <c r="F29" s="36" t="s">
        <v>108</v>
      </c>
      <c r="G29" t="s">
        <v>109</v>
      </c>
      <c r="H29" s="29">
        <v>64</v>
      </c>
      <c r="I29">
        <v>4</v>
      </c>
      <c r="J29">
        <v>2024</v>
      </c>
      <c r="K29" s="1">
        <f t="shared" si="6"/>
        <v>10.320560747663551</v>
      </c>
      <c r="M29" s="4" t="s">
        <v>110</v>
      </c>
      <c r="N29" s="6">
        <v>8</v>
      </c>
      <c r="O29" s="3">
        <v>2026</v>
      </c>
      <c r="P29" s="22"/>
    </row>
    <row r="31" spans="1:16" x14ac:dyDescent="0.25">
      <c r="A31" s="17" t="s">
        <v>106</v>
      </c>
      <c r="B31" s="1">
        <f>C31/D31</f>
        <v>10.320560747663551</v>
      </c>
      <c r="C31">
        <v>33129</v>
      </c>
      <c r="D31">
        <v>3210</v>
      </c>
      <c r="K31" s="1">
        <f>C31/D31</f>
        <v>10.320560747663551</v>
      </c>
    </row>
    <row r="34" spans="1:6" x14ac:dyDescent="0.25">
      <c r="A34" t="s">
        <v>33</v>
      </c>
    </row>
    <row r="35" spans="1:6" x14ac:dyDescent="0.25">
      <c r="A35" s="2" t="s">
        <v>34</v>
      </c>
      <c r="B35" s="2"/>
      <c r="F35" t="s">
        <v>98</v>
      </c>
    </row>
  </sheetData>
  <hyperlinks>
    <hyperlink ref="A35" r:id="rId1" xr:uid="{1533EFA7-4865-4211-9D32-F2745D021C3D}"/>
    <hyperlink ref="M9" r:id="rId2" location="riscvcpu" display="https://www.espressif.com/sites/default/files/documentation/esp32-c3_technical_reference_manual_en.pdf - riscvcpu" xr:uid="{66F7B36A-23BF-4B96-9B61-331676444F2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212E-8ABB-4B14-AEF6-E9EC57B10669}">
  <dimension ref="A1:P31"/>
  <sheetViews>
    <sheetView zoomScaleNormal="100" workbookViewId="0">
      <selection activeCell="B27" sqref="B27"/>
    </sheetView>
  </sheetViews>
  <sheetFormatPr defaultColWidth="8.85546875" defaultRowHeight="15" x14ac:dyDescent="0.25"/>
  <cols>
    <col min="1" max="1" width="23" bestFit="1" customWidth="1"/>
    <col min="2" max="2" width="10.140625" bestFit="1" customWidth="1"/>
    <col min="3" max="3" width="9.7109375" bestFit="1" customWidth="1"/>
    <col min="4" max="4" width="5.140625" bestFit="1" customWidth="1"/>
    <col min="5" max="5" width="28.85546875" bestFit="1" customWidth="1"/>
    <col min="6" max="6" width="18.5703125" bestFit="1" customWidth="1"/>
    <col min="7" max="7" width="13.140625" bestFit="1" customWidth="1"/>
    <col min="8" max="9" width="4.42578125" customWidth="1"/>
    <col min="10" max="10" width="5" bestFit="1" customWidth="1"/>
    <col min="11" max="11" width="8.85546875" bestFit="1" customWidth="1"/>
    <col min="12" max="12" width="8.85546875" customWidth="1"/>
    <col min="14" max="14" width="5.140625" style="6" bestFit="1" customWidth="1"/>
  </cols>
  <sheetData>
    <row r="1" spans="1:16" x14ac:dyDescent="0.25">
      <c r="A1" t="s">
        <v>0</v>
      </c>
    </row>
    <row r="2" spans="1:16" x14ac:dyDescent="0.25">
      <c r="N2" s="6" t="s">
        <v>96</v>
      </c>
    </row>
    <row r="3" spans="1:16" x14ac:dyDescent="0.25">
      <c r="A3" s="7" t="s">
        <v>1</v>
      </c>
      <c r="B3" s="7" t="s">
        <v>4</v>
      </c>
      <c r="C3" s="7" t="s">
        <v>2</v>
      </c>
      <c r="D3" s="7" t="s">
        <v>3</v>
      </c>
      <c r="E3" s="7" t="s">
        <v>38</v>
      </c>
      <c r="F3" s="7" t="s">
        <v>46</v>
      </c>
      <c r="G3" s="7" t="s">
        <v>48</v>
      </c>
      <c r="H3" s="7" t="s">
        <v>51</v>
      </c>
      <c r="I3" s="7" t="s">
        <v>99</v>
      </c>
      <c r="J3" s="7" t="s">
        <v>100</v>
      </c>
      <c r="K3" s="7" t="s">
        <v>101</v>
      </c>
      <c r="L3" s="7" t="s">
        <v>102</v>
      </c>
      <c r="M3" s="7" t="s">
        <v>69</v>
      </c>
      <c r="N3" s="8" t="s">
        <v>97</v>
      </c>
      <c r="O3" s="7" t="s">
        <v>36</v>
      </c>
    </row>
    <row r="4" spans="1:16" x14ac:dyDescent="0.25">
      <c r="A4" s="14" t="s">
        <v>5</v>
      </c>
      <c r="B4" s="15">
        <f>C4/D4</f>
        <v>0.4375</v>
      </c>
      <c r="C4" s="14">
        <v>7</v>
      </c>
      <c r="D4" s="14">
        <v>16</v>
      </c>
      <c r="E4" s="14"/>
      <c r="F4" s="14" t="s">
        <v>57</v>
      </c>
      <c r="G4" s="14" t="s">
        <v>58</v>
      </c>
      <c r="H4" s="14">
        <v>8</v>
      </c>
      <c r="I4" s="14"/>
      <c r="J4" s="14">
        <v>1997</v>
      </c>
      <c r="K4" s="14"/>
      <c r="L4" s="14"/>
      <c r="M4" s="14"/>
      <c r="N4" s="16"/>
      <c r="O4" s="14">
        <v>2020</v>
      </c>
    </row>
    <row r="5" spans="1:16" x14ac:dyDescent="0.25">
      <c r="A5" t="s">
        <v>6</v>
      </c>
      <c r="B5" s="1">
        <f t="shared" ref="B5:B19" si="0">C5/D5</f>
        <v>1.125</v>
      </c>
      <c r="C5">
        <v>81</v>
      </c>
      <c r="D5">
        <v>72</v>
      </c>
      <c r="F5" t="s">
        <v>50</v>
      </c>
      <c r="G5" t="s">
        <v>49</v>
      </c>
      <c r="H5">
        <v>32</v>
      </c>
      <c r="J5">
        <v>2007</v>
      </c>
      <c r="O5">
        <v>2020</v>
      </c>
    </row>
    <row r="6" spans="1:16" x14ac:dyDescent="0.25">
      <c r="A6" t="s">
        <v>7</v>
      </c>
      <c r="B6" s="1">
        <f t="shared" si="0"/>
        <v>1.7857142857142858</v>
      </c>
      <c r="C6">
        <v>150</v>
      </c>
      <c r="D6">
        <v>84</v>
      </c>
      <c r="F6" t="s">
        <v>50</v>
      </c>
      <c r="G6" t="s">
        <v>52</v>
      </c>
      <c r="H6">
        <v>32</v>
      </c>
      <c r="J6">
        <v>2013</v>
      </c>
      <c r="M6" s="4" t="s">
        <v>53</v>
      </c>
      <c r="O6">
        <v>2020</v>
      </c>
    </row>
    <row r="7" spans="1:16" x14ac:dyDescent="0.25">
      <c r="A7" t="s">
        <v>8</v>
      </c>
      <c r="B7" s="1">
        <f t="shared" si="0"/>
        <v>1.72</v>
      </c>
      <c r="C7">
        <v>172</v>
      </c>
      <c r="D7">
        <v>100</v>
      </c>
      <c r="F7" t="s">
        <v>50</v>
      </c>
      <c r="G7" t="s">
        <v>52</v>
      </c>
      <c r="H7">
        <v>32</v>
      </c>
      <c r="J7">
        <v>2013</v>
      </c>
      <c r="M7" s="4" t="s">
        <v>53</v>
      </c>
      <c r="O7">
        <v>2020</v>
      </c>
    </row>
    <row r="8" spans="1:16" x14ac:dyDescent="0.25">
      <c r="A8" s="9" t="s">
        <v>37</v>
      </c>
      <c r="B8" s="1">
        <f t="shared" si="0"/>
        <v>1.481203007518797</v>
      </c>
      <c r="C8">
        <v>197</v>
      </c>
      <c r="D8">
        <v>133</v>
      </c>
      <c r="E8" t="s">
        <v>39</v>
      </c>
      <c r="F8" t="s">
        <v>54</v>
      </c>
      <c r="G8" t="s">
        <v>55</v>
      </c>
      <c r="H8">
        <v>32</v>
      </c>
      <c r="J8">
        <v>2021</v>
      </c>
      <c r="N8" s="6">
        <v>0.2</v>
      </c>
      <c r="O8" s="3">
        <v>2023</v>
      </c>
    </row>
    <row r="9" spans="1:16" x14ac:dyDescent="0.25">
      <c r="A9" t="s">
        <v>42</v>
      </c>
      <c r="B9" s="1">
        <f t="shared" si="0"/>
        <v>1.9</v>
      </c>
      <c r="C9">
        <v>304</v>
      </c>
      <c r="D9">
        <v>160</v>
      </c>
      <c r="E9" t="s">
        <v>56</v>
      </c>
      <c r="F9" t="s">
        <v>86</v>
      </c>
      <c r="G9" t="s">
        <v>47</v>
      </c>
      <c r="H9">
        <v>32</v>
      </c>
      <c r="J9">
        <v>2016</v>
      </c>
      <c r="M9" t="s">
        <v>87</v>
      </c>
      <c r="O9" s="3">
        <v>2023</v>
      </c>
    </row>
    <row r="10" spans="1:16" x14ac:dyDescent="0.25">
      <c r="A10" t="s">
        <v>9</v>
      </c>
      <c r="B10" s="1">
        <f t="shared" si="0"/>
        <v>2.1937500000000001</v>
      </c>
      <c r="C10">
        <v>351</v>
      </c>
      <c r="D10">
        <v>160</v>
      </c>
      <c r="F10" t="s">
        <v>81</v>
      </c>
      <c r="G10" t="s">
        <v>80</v>
      </c>
      <c r="H10">
        <v>32</v>
      </c>
      <c r="J10">
        <v>2016</v>
      </c>
      <c r="N10" s="6">
        <v>0.25</v>
      </c>
      <c r="O10">
        <v>2020</v>
      </c>
    </row>
    <row r="11" spans="1:16" x14ac:dyDescent="0.25">
      <c r="A11" t="s">
        <v>40</v>
      </c>
      <c r="B11" s="1">
        <f t="shared" si="0"/>
        <v>2.2562500000000001</v>
      </c>
      <c r="C11">
        <v>361</v>
      </c>
      <c r="D11">
        <v>160</v>
      </c>
      <c r="F11" t="s">
        <v>81</v>
      </c>
      <c r="G11" t="s">
        <v>79</v>
      </c>
      <c r="H11">
        <v>32</v>
      </c>
      <c r="J11">
        <v>2019</v>
      </c>
      <c r="N11" s="6">
        <v>0.25</v>
      </c>
      <c r="O11" s="3">
        <v>2023</v>
      </c>
    </row>
    <row r="12" spans="1:16" x14ac:dyDescent="0.25">
      <c r="A12" t="s">
        <v>35</v>
      </c>
      <c r="B12" s="1">
        <f t="shared" si="0"/>
        <v>2.34375</v>
      </c>
      <c r="C12">
        <v>375</v>
      </c>
      <c r="D12">
        <v>160</v>
      </c>
      <c r="F12" t="s">
        <v>81</v>
      </c>
      <c r="G12" t="s">
        <v>80</v>
      </c>
      <c r="H12">
        <v>32</v>
      </c>
      <c r="J12">
        <v>2016</v>
      </c>
      <c r="N12" s="6">
        <v>0.25</v>
      </c>
      <c r="O12" s="3">
        <v>2023</v>
      </c>
    </row>
    <row r="13" spans="1:16" x14ac:dyDescent="0.25">
      <c r="A13" t="s">
        <v>41</v>
      </c>
      <c r="B13" s="1">
        <f t="shared" si="0"/>
        <v>1.8791666666666667</v>
      </c>
      <c r="C13">
        <v>451</v>
      </c>
      <c r="D13">
        <v>240</v>
      </c>
      <c r="F13" t="s">
        <v>81</v>
      </c>
      <c r="G13" t="s">
        <v>79</v>
      </c>
      <c r="H13">
        <v>32</v>
      </c>
      <c r="J13">
        <v>2020</v>
      </c>
      <c r="M13" s="4" t="s">
        <v>53</v>
      </c>
      <c r="N13" s="6">
        <v>0.25</v>
      </c>
      <c r="O13" s="3">
        <v>2023</v>
      </c>
    </row>
    <row r="14" spans="1:16" x14ac:dyDescent="0.25">
      <c r="A14" s="9" t="s">
        <v>10</v>
      </c>
      <c r="B14" s="1">
        <f t="shared" si="0"/>
        <v>2.2485714285714287</v>
      </c>
      <c r="C14">
        <v>1574</v>
      </c>
      <c r="D14">
        <v>700</v>
      </c>
      <c r="F14" t="s">
        <v>60</v>
      </c>
      <c r="G14" t="s">
        <v>59</v>
      </c>
      <c r="H14">
        <v>32</v>
      </c>
      <c r="J14">
        <v>2012</v>
      </c>
      <c r="N14" s="6">
        <v>0.5</v>
      </c>
      <c r="O14">
        <v>2020</v>
      </c>
    </row>
    <row r="15" spans="1:16" x14ac:dyDescent="0.25">
      <c r="A15" s="5" t="s">
        <v>88</v>
      </c>
      <c r="B15" s="1">
        <f t="shared" si="0"/>
        <v>2.8436154949784793</v>
      </c>
      <c r="C15">
        <v>3964</v>
      </c>
      <c r="D15">
        <v>1394</v>
      </c>
      <c r="E15" t="s">
        <v>90</v>
      </c>
      <c r="F15" t="s">
        <v>92</v>
      </c>
      <c r="G15" t="s">
        <v>89</v>
      </c>
      <c r="H15">
        <v>32</v>
      </c>
      <c r="J15">
        <v>2018</v>
      </c>
      <c r="N15" s="6">
        <v>1</v>
      </c>
      <c r="O15" s="3">
        <v>2025</v>
      </c>
    </row>
    <row r="16" spans="1:16" x14ac:dyDescent="0.25">
      <c r="A16" s="10" t="s">
        <v>11</v>
      </c>
      <c r="B16" s="11">
        <f t="shared" si="0"/>
        <v>3.1666666666666665</v>
      </c>
      <c r="C16" s="12">
        <v>3800</v>
      </c>
      <c r="D16" s="12">
        <v>1200</v>
      </c>
      <c r="E16" s="12" t="s">
        <v>95</v>
      </c>
      <c r="F16" s="12" t="s">
        <v>62</v>
      </c>
      <c r="G16" s="12" t="s">
        <v>61</v>
      </c>
      <c r="H16" s="12">
        <v>64</v>
      </c>
      <c r="I16" s="12"/>
      <c r="J16" s="12">
        <v>2016</v>
      </c>
      <c r="K16" s="12"/>
      <c r="L16" s="12"/>
      <c r="M16" s="12"/>
      <c r="N16" s="13">
        <v>1</v>
      </c>
      <c r="O16" s="12">
        <v>2020</v>
      </c>
      <c r="P16" t="s">
        <v>98</v>
      </c>
    </row>
    <row r="17" spans="1:15" x14ac:dyDescent="0.25">
      <c r="A17" s="5" t="s">
        <v>12</v>
      </c>
      <c r="B17" s="1">
        <f t="shared" si="0"/>
        <v>3.2608333333333333</v>
      </c>
      <c r="C17">
        <v>3913</v>
      </c>
      <c r="D17">
        <v>1200</v>
      </c>
      <c r="E17" t="s">
        <v>95</v>
      </c>
      <c r="F17" t="s">
        <v>63</v>
      </c>
      <c r="G17" t="s">
        <v>61</v>
      </c>
      <c r="H17">
        <v>64</v>
      </c>
      <c r="J17">
        <v>2015</v>
      </c>
      <c r="O17">
        <v>2020</v>
      </c>
    </row>
    <row r="18" spans="1:15" x14ac:dyDescent="0.25">
      <c r="A18" s="9" t="s">
        <v>91</v>
      </c>
      <c r="B18" s="1">
        <f t="shared" si="0"/>
        <v>5.504666666666667</v>
      </c>
      <c r="C18">
        <v>8257</v>
      </c>
      <c r="D18">
        <v>1500</v>
      </c>
      <c r="E18" t="s">
        <v>94</v>
      </c>
      <c r="F18" t="s">
        <v>63</v>
      </c>
      <c r="G18" t="s">
        <v>93</v>
      </c>
      <c r="H18">
        <v>64</v>
      </c>
      <c r="J18">
        <v>2019</v>
      </c>
      <c r="N18" s="6">
        <v>4</v>
      </c>
      <c r="O18">
        <v>2025</v>
      </c>
    </row>
    <row r="19" spans="1:15" x14ac:dyDescent="0.25">
      <c r="A19" t="s">
        <v>13</v>
      </c>
      <c r="B19" s="1">
        <f t="shared" si="0"/>
        <v>4.4584967320261439</v>
      </c>
      <c r="C19">
        <v>13643</v>
      </c>
      <c r="D19">
        <v>3060</v>
      </c>
      <c r="E19" t="s">
        <v>83</v>
      </c>
      <c r="F19" t="s">
        <v>64</v>
      </c>
      <c r="G19" t="s">
        <v>65</v>
      </c>
      <c r="H19">
        <v>64</v>
      </c>
      <c r="J19">
        <v>2009</v>
      </c>
      <c r="N19" s="6">
        <v>24</v>
      </c>
      <c r="O19">
        <v>2020</v>
      </c>
    </row>
    <row r="20" spans="1:15" x14ac:dyDescent="0.25">
      <c r="A20" t="s">
        <v>76</v>
      </c>
      <c r="B20" s="1">
        <f>C20/D20</f>
        <v>6.3620000000000001</v>
      </c>
      <c r="C20">
        <v>19086</v>
      </c>
      <c r="D20">
        <v>3000</v>
      </c>
      <c r="E20" t="s">
        <v>82</v>
      </c>
      <c r="F20" t="s">
        <v>64</v>
      </c>
      <c r="G20" t="s">
        <v>66</v>
      </c>
      <c r="H20">
        <v>64</v>
      </c>
      <c r="J20">
        <v>2013</v>
      </c>
      <c r="N20" s="6">
        <v>16</v>
      </c>
      <c r="O20">
        <v>2024</v>
      </c>
    </row>
    <row r="21" spans="1:15" x14ac:dyDescent="0.25">
      <c r="A21" t="s">
        <v>14</v>
      </c>
      <c r="B21" s="1">
        <f t="shared" ref="B21:B25" si="1">C21/D21</f>
        <v>6.4378787878787875</v>
      </c>
      <c r="C21">
        <v>21245</v>
      </c>
      <c r="D21">
        <v>3300</v>
      </c>
      <c r="E21" t="s">
        <v>82</v>
      </c>
      <c r="F21" t="s">
        <v>64</v>
      </c>
      <c r="G21" t="s">
        <v>66</v>
      </c>
      <c r="H21">
        <v>64</v>
      </c>
      <c r="J21">
        <v>2012</v>
      </c>
      <c r="N21" s="6">
        <v>16</v>
      </c>
      <c r="O21">
        <v>2020</v>
      </c>
    </row>
    <row r="22" spans="1:15" x14ac:dyDescent="0.25">
      <c r="A22" t="s">
        <v>45</v>
      </c>
      <c r="B22" s="1">
        <f t="shared" si="1"/>
        <v>6.4969945355191259</v>
      </c>
      <c r="C22">
        <v>23779</v>
      </c>
      <c r="D22">
        <v>3660</v>
      </c>
      <c r="E22" t="s">
        <v>84</v>
      </c>
      <c r="F22" t="s">
        <v>64</v>
      </c>
      <c r="G22" t="s">
        <v>67</v>
      </c>
      <c r="H22">
        <v>64</v>
      </c>
      <c r="J22">
        <v>2015</v>
      </c>
      <c r="N22" s="6">
        <v>24</v>
      </c>
      <c r="O22">
        <v>2020</v>
      </c>
    </row>
    <row r="23" spans="1:15" x14ac:dyDescent="0.25">
      <c r="A23" t="s">
        <v>16</v>
      </c>
      <c r="B23" s="1">
        <f t="shared" si="1"/>
        <v>7.2350710900473931</v>
      </c>
      <c r="C23">
        <v>30532</v>
      </c>
      <c r="D23">
        <v>4220</v>
      </c>
      <c r="E23" t="s">
        <v>85</v>
      </c>
      <c r="F23" t="s">
        <v>64</v>
      </c>
      <c r="G23" t="s">
        <v>68</v>
      </c>
      <c r="H23">
        <v>64</v>
      </c>
      <c r="J23">
        <v>2020</v>
      </c>
      <c r="N23" s="6">
        <v>48</v>
      </c>
      <c r="O23">
        <v>2021</v>
      </c>
    </row>
    <row r="24" spans="1:15" x14ac:dyDescent="0.25">
      <c r="A24" t="s">
        <v>73</v>
      </c>
      <c r="B24" s="1">
        <f t="shared" si="1"/>
        <v>8.4960869565217383</v>
      </c>
      <c r="C24">
        <v>39082</v>
      </c>
      <c r="D24">
        <v>4600</v>
      </c>
      <c r="E24" t="s">
        <v>74</v>
      </c>
      <c r="F24" t="s">
        <v>64</v>
      </c>
      <c r="G24" t="s">
        <v>75</v>
      </c>
      <c r="H24">
        <v>64</v>
      </c>
      <c r="J24">
        <v>2023</v>
      </c>
      <c r="N24" s="6">
        <v>64</v>
      </c>
      <c r="O24">
        <v>2024</v>
      </c>
    </row>
    <row r="25" spans="1:15" x14ac:dyDescent="0.25">
      <c r="A25" t="s">
        <v>43</v>
      </c>
      <c r="B25" s="1">
        <f t="shared" si="1"/>
        <v>9.9118750000000002</v>
      </c>
      <c r="C25">
        <v>31718</v>
      </c>
      <c r="D25">
        <v>3200</v>
      </c>
      <c r="E25" t="s">
        <v>72</v>
      </c>
      <c r="F25" t="s">
        <v>71</v>
      </c>
      <c r="G25" t="s">
        <v>70</v>
      </c>
      <c r="H25">
        <v>64</v>
      </c>
      <c r="J25">
        <v>2020</v>
      </c>
      <c r="N25" s="6">
        <v>16</v>
      </c>
      <c r="O25" s="3">
        <v>2023</v>
      </c>
    </row>
    <row r="30" spans="1:15" x14ac:dyDescent="0.25">
      <c r="A30" t="s">
        <v>33</v>
      </c>
    </row>
    <row r="31" spans="1:15" x14ac:dyDescent="0.25">
      <c r="A31" s="2" t="s">
        <v>34</v>
      </c>
      <c r="B31" s="2"/>
      <c r="F31" t="s">
        <v>98</v>
      </c>
    </row>
  </sheetData>
  <hyperlinks>
    <hyperlink ref="A31" r:id="rId1" xr:uid="{14E13CF2-D12C-470D-B931-64AFEE59DDE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F068-C664-40CD-A690-2ADA683B78C9}">
  <dimension ref="A1:D31"/>
  <sheetViews>
    <sheetView workbookViewId="0">
      <selection activeCell="F9" sqref="F9"/>
    </sheetView>
  </sheetViews>
  <sheetFormatPr defaultColWidth="8.85546875" defaultRowHeight="15" x14ac:dyDescent="0.25"/>
  <cols>
    <col min="1" max="1" width="25" customWidth="1"/>
    <col min="2" max="2" width="9.85546875" bestFit="1" customWidth="1"/>
    <col min="3" max="3" width="6.140625" bestFit="1" customWidth="1"/>
    <col min="4" max="4" width="10.140625" bestFit="1" customWidth="1"/>
  </cols>
  <sheetData>
    <row r="1" spans="1:4" x14ac:dyDescent="0.25">
      <c r="A1" t="s">
        <v>77</v>
      </c>
    </row>
    <row r="2" spans="1:4" x14ac:dyDescent="0.25">
      <c r="D2" t="s">
        <v>78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76</v>
      </c>
      <c r="B4">
        <v>36943</v>
      </c>
      <c r="C4">
        <v>3000</v>
      </c>
      <c r="D4" s="1">
        <f>B4/C4/2</f>
        <v>6.1571666666666669</v>
      </c>
    </row>
    <row r="6" spans="1:4" x14ac:dyDescent="0.25">
      <c r="A6" t="s">
        <v>29</v>
      </c>
    </row>
    <row r="7" spans="1:4" x14ac:dyDescent="0.25">
      <c r="D7" t="s">
        <v>28</v>
      </c>
    </row>
    <row r="8" spans="1:4" x14ac:dyDescent="0.25">
      <c r="A8" t="s">
        <v>1</v>
      </c>
      <c r="B8" t="s">
        <v>2</v>
      </c>
      <c r="C8" t="s">
        <v>3</v>
      </c>
      <c r="D8" t="s">
        <v>4</v>
      </c>
    </row>
    <row r="9" spans="1:4" x14ac:dyDescent="0.25">
      <c r="A9" t="s">
        <v>17</v>
      </c>
      <c r="B9">
        <v>15194</v>
      </c>
      <c r="C9">
        <v>1200</v>
      </c>
      <c r="D9" s="1">
        <v>3.16</v>
      </c>
    </row>
    <row r="10" spans="1:4" x14ac:dyDescent="0.25">
      <c r="A10" t="s">
        <v>18</v>
      </c>
      <c r="B10">
        <v>15393</v>
      </c>
      <c r="C10">
        <v>1200</v>
      </c>
      <c r="D10" s="1">
        <v>3.21</v>
      </c>
    </row>
    <row r="11" spans="1:4" x14ac:dyDescent="0.25">
      <c r="A11" t="s">
        <v>19</v>
      </c>
      <c r="B11">
        <v>32880</v>
      </c>
      <c r="C11">
        <v>1500</v>
      </c>
      <c r="D11" s="1">
        <v>5.48</v>
      </c>
    </row>
    <row r="12" spans="1:4" x14ac:dyDescent="0.25">
      <c r="A12" t="s">
        <v>20</v>
      </c>
      <c r="B12">
        <v>53450</v>
      </c>
      <c r="C12">
        <v>3300</v>
      </c>
      <c r="D12" s="1">
        <v>4.05</v>
      </c>
    </row>
    <row r="13" spans="1:4" x14ac:dyDescent="0.25">
      <c r="A13" t="s">
        <v>21</v>
      </c>
      <c r="B13">
        <v>74944</v>
      </c>
      <c r="C13">
        <v>3800</v>
      </c>
      <c r="D13" s="1">
        <v>4.93</v>
      </c>
    </row>
    <row r="14" spans="1:4" x14ac:dyDescent="0.25">
      <c r="A14" t="s">
        <v>23</v>
      </c>
      <c r="B14">
        <v>96420</v>
      </c>
      <c r="C14">
        <v>3660</v>
      </c>
      <c r="D14" s="1">
        <v>6.7</v>
      </c>
    </row>
    <row r="15" spans="1:4" x14ac:dyDescent="0.25">
      <c r="A15" t="s">
        <v>24</v>
      </c>
      <c r="B15">
        <v>103808</v>
      </c>
      <c r="C15">
        <v>4070</v>
      </c>
      <c r="D15" s="1">
        <v>6.38</v>
      </c>
    </row>
    <row r="17" spans="1:4" x14ac:dyDescent="0.25">
      <c r="D17" s="1"/>
    </row>
    <row r="18" spans="1:4" x14ac:dyDescent="0.25">
      <c r="A18" t="s">
        <v>31</v>
      </c>
    </row>
    <row r="19" spans="1:4" x14ac:dyDescent="0.25">
      <c r="D19" t="s">
        <v>30</v>
      </c>
    </row>
    <row r="20" spans="1:4" x14ac:dyDescent="0.25">
      <c r="A20" t="s">
        <v>1</v>
      </c>
      <c r="B20" t="s">
        <v>2</v>
      </c>
      <c r="C20" t="s">
        <v>3</v>
      </c>
      <c r="D20" t="s">
        <v>4</v>
      </c>
    </row>
    <row r="21" spans="1:4" x14ac:dyDescent="0.25">
      <c r="A21" t="s">
        <v>22</v>
      </c>
      <c r="B21">
        <v>95261</v>
      </c>
      <c r="C21">
        <v>3800</v>
      </c>
      <c r="D21" s="1">
        <v>3.13</v>
      </c>
    </row>
    <row r="22" spans="1:4" x14ac:dyDescent="0.25">
      <c r="A22" t="s">
        <v>25</v>
      </c>
      <c r="B22">
        <v>118862</v>
      </c>
      <c r="C22">
        <v>3660</v>
      </c>
      <c r="D22" s="1">
        <v>4.13</v>
      </c>
    </row>
    <row r="23" spans="1:4" x14ac:dyDescent="0.25">
      <c r="A23" t="s">
        <v>27</v>
      </c>
      <c r="B23">
        <v>167829</v>
      </c>
      <c r="C23">
        <v>4070</v>
      </c>
      <c r="D23" s="1">
        <v>4.95</v>
      </c>
    </row>
    <row r="28" spans="1:4" x14ac:dyDescent="0.25">
      <c r="A28" t="s">
        <v>31</v>
      </c>
    </row>
    <row r="29" spans="1:4" x14ac:dyDescent="0.25">
      <c r="D29" t="s">
        <v>32</v>
      </c>
    </row>
    <row r="30" spans="1:4" x14ac:dyDescent="0.25">
      <c r="A30" t="s">
        <v>1</v>
      </c>
      <c r="B30" t="s">
        <v>2</v>
      </c>
      <c r="C30" t="s">
        <v>3</v>
      </c>
      <c r="D30" t="s">
        <v>4</v>
      </c>
    </row>
    <row r="31" spans="1:4" x14ac:dyDescent="0.25">
      <c r="A31" t="s">
        <v>26</v>
      </c>
      <c r="B31">
        <v>124634</v>
      </c>
      <c r="C31">
        <v>3060</v>
      </c>
      <c r="D31" s="1">
        <v>2.5499999999999998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H7" sqref="H7"/>
    </sheetView>
  </sheetViews>
  <sheetFormatPr defaultColWidth="8.85546875" defaultRowHeight="15" x14ac:dyDescent="0.25"/>
  <cols>
    <col min="1" max="1" width="23" bestFit="1" customWidth="1"/>
    <col min="2" max="2" width="10.140625" bestFit="1" customWidth="1"/>
    <col min="3" max="3" width="9.7109375" bestFit="1" customWidth="1"/>
    <col min="4" max="4" width="5.140625" bestFit="1" customWidth="1"/>
  </cols>
  <sheetData>
    <row r="1" spans="1:4" x14ac:dyDescent="0.25">
      <c r="A1" t="s">
        <v>44</v>
      </c>
    </row>
    <row r="3" spans="1:4" x14ac:dyDescent="0.25">
      <c r="A3" t="s">
        <v>1</v>
      </c>
      <c r="B3" t="s">
        <v>4</v>
      </c>
      <c r="C3" t="s">
        <v>2</v>
      </c>
      <c r="D3" t="s">
        <v>3</v>
      </c>
    </row>
    <row r="4" spans="1:4" x14ac:dyDescent="0.25">
      <c r="A4" t="s">
        <v>5</v>
      </c>
      <c r="B4" s="1">
        <f>C4/D4</f>
        <v>0.4375</v>
      </c>
      <c r="C4">
        <v>7</v>
      </c>
      <c r="D4">
        <v>16</v>
      </c>
    </row>
    <row r="5" spans="1:4" x14ac:dyDescent="0.25">
      <c r="A5" t="s">
        <v>6</v>
      </c>
      <c r="B5" s="1">
        <f t="shared" ref="B5:B15" si="0">C5/D5</f>
        <v>1.125</v>
      </c>
      <c r="C5">
        <v>81</v>
      </c>
      <c r="D5">
        <v>72</v>
      </c>
    </row>
    <row r="6" spans="1:4" x14ac:dyDescent="0.25">
      <c r="A6" t="s">
        <v>7</v>
      </c>
      <c r="B6" s="1">
        <f t="shared" si="0"/>
        <v>1.7857142857142858</v>
      </c>
      <c r="C6">
        <v>150</v>
      </c>
      <c r="D6">
        <v>84</v>
      </c>
    </row>
    <row r="7" spans="1:4" x14ac:dyDescent="0.25">
      <c r="A7" t="s">
        <v>8</v>
      </c>
      <c r="B7" s="1">
        <f t="shared" si="0"/>
        <v>1.72</v>
      </c>
      <c r="C7">
        <v>172</v>
      </c>
      <c r="D7">
        <v>100</v>
      </c>
    </row>
    <row r="8" spans="1:4" x14ac:dyDescent="0.25">
      <c r="A8" t="s">
        <v>9</v>
      </c>
      <c r="B8" s="1">
        <f t="shared" si="0"/>
        <v>2.1937500000000001</v>
      </c>
      <c r="C8">
        <v>351</v>
      </c>
      <c r="D8">
        <v>160</v>
      </c>
    </row>
    <row r="9" spans="1:4" x14ac:dyDescent="0.25">
      <c r="A9" t="s">
        <v>10</v>
      </c>
      <c r="B9" s="1">
        <f t="shared" si="0"/>
        <v>2.2485714285714287</v>
      </c>
      <c r="C9">
        <v>1574</v>
      </c>
      <c r="D9">
        <v>700</v>
      </c>
    </row>
    <row r="10" spans="1:4" x14ac:dyDescent="0.25">
      <c r="A10" t="s">
        <v>11</v>
      </c>
      <c r="B10" s="1">
        <f t="shared" si="0"/>
        <v>3.1666666666666665</v>
      </c>
      <c r="C10">
        <v>3800</v>
      </c>
      <c r="D10">
        <v>1200</v>
      </c>
    </row>
    <row r="11" spans="1:4" x14ac:dyDescent="0.25">
      <c r="A11" t="s">
        <v>12</v>
      </c>
      <c r="B11" s="1">
        <f t="shared" si="0"/>
        <v>3.2608333333333333</v>
      </c>
      <c r="C11">
        <v>3913</v>
      </c>
      <c r="D11">
        <v>1200</v>
      </c>
    </row>
    <row r="12" spans="1:4" x14ac:dyDescent="0.25">
      <c r="A12" t="s">
        <v>13</v>
      </c>
      <c r="B12" s="1">
        <f t="shared" si="0"/>
        <v>4.4584967320261439</v>
      </c>
      <c r="C12">
        <v>13643</v>
      </c>
      <c r="D12">
        <v>3060</v>
      </c>
    </row>
    <row r="13" spans="1:4" x14ac:dyDescent="0.25">
      <c r="A13" t="s">
        <v>14</v>
      </c>
      <c r="B13" s="1">
        <f t="shared" si="0"/>
        <v>6.4378787878787875</v>
      </c>
      <c r="C13">
        <v>21245</v>
      </c>
      <c r="D13">
        <v>3300</v>
      </c>
    </row>
    <row r="14" spans="1:4" x14ac:dyDescent="0.25">
      <c r="A14" t="s">
        <v>15</v>
      </c>
      <c r="B14" s="1">
        <f t="shared" si="0"/>
        <v>6.4969945355191259</v>
      </c>
      <c r="C14">
        <v>23779</v>
      </c>
      <c r="D14">
        <v>3660</v>
      </c>
    </row>
    <row r="15" spans="1:4" x14ac:dyDescent="0.25">
      <c r="A15" t="s">
        <v>16</v>
      </c>
      <c r="B15" s="1">
        <f t="shared" si="0"/>
        <v>7.2350710900473931</v>
      </c>
      <c r="C15">
        <v>30532</v>
      </c>
      <c r="D15">
        <v>4220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</vt:lpstr>
      <vt:lpstr>2025</vt:lpstr>
      <vt:lpstr>multi</vt:lpstr>
      <vt:lpstr>single2021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Matthias Kreier</cp:lastModifiedBy>
  <cp:revision/>
  <dcterms:created xsi:type="dcterms:W3CDTF">2020-07-17T11:58:49Z</dcterms:created>
  <dcterms:modified xsi:type="dcterms:W3CDTF">2026-05-09T16:58:40Z</dcterms:modified>
  <cp:category/>
  <cp:contentStatus/>
</cp:coreProperties>
</file>